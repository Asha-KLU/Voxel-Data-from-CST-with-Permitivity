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ARE\Submittions\8. IEEE Journal of Electromagnetics, RF and Microwaves in Medicine and Biology\"/>
    </mc:Choice>
  </mc:AlternateContent>
  <xr:revisionPtr revIDLastSave="0" documentId="13_ncr:1_{E0E3528B-3E24-4809-B05B-0EEA8D83BEB9}" xr6:coauthVersionLast="47" xr6:coauthVersionMax="47" xr10:uidLastSave="{00000000-0000-0000-0000-000000000000}"/>
  <bookViews>
    <workbookView xWindow="9510" yWindow="0" windowWidth="9780" windowHeight="10170" activeTab="1" xr2:uid="{00000000-000D-0000-FFFF-FFFF00000000}"/>
  </bookViews>
  <sheets>
    <sheet name="Dog" sheetId="1" r:id="rId1"/>
    <sheet name="Cow" sheetId="6" r:id="rId2"/>
    <sheet name="References" sheetId="4" r:id="rId3"/>
    <sheet name="Ca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8" i="6" l="1"/>
  <c r="D2" i="6"/>
  <c r="D3" i="6" s="1"/>
  <c r="Q18" i="5"/>
  <c r="D2" i="5"/>
  <c r="D3" i="5" s="1"/>
  <c r="Q18" i="1"/>
  <c r="D2" i="1"/>
  <c r="D3" i="1" s="1"/>
</calcChain>
</file>

<file path=xl/sharedStrings.xml><?xml version="1.0" encoding="utf-8"?>
<sst xmlns="http://schemas.openxmlformats.org/spreadsheetml/2006/main" count="142" uniqueCount="52">
  <si>
    <t>Tissue</t>
  </si>
  <si>
    <t>Num</t>
  </si>
  <si>
    <t>Eps</t>
  </si>
  <si>
    <t>Mu</t>
  </si>
  <si>
    <t>Kappa [S/m]</t>
  </si>
  <si>
    <t>Rho [kg/m3]</t>
  </si>
  <si>
    <t>K [W/mK]</t>
  </si>
  <si>
    <t>HeatCap [J/gK]</t>
  </si>
  <si>
    <t>BldFlow [W/m3K]</t>
  </si>
  <si>
    <t>Metabol [W/m^3]</t>
  </si>
  <si>
    <t>R</t>
  </si>
  <si>
    <t>G</t>
  </si>
  <si>
    <t>B</t>
  </si>
  <si>
    <t>Density in g/cm3</t>
  </si>
  <si>
    <t>Percentage volume</t>
  </si>
  <si>
    <t>Volume of tissue</t>
  </si>
  <si>
    <t>Fractional permittivity</t>
  </si>
  <si>
    <t>Muscle</t>
  </si>
  <si>
    <t>Fat</t>
  </si>
  <si>
    <t>Bone cortical</t>
  </si>
  <si>
    <t>Brain</t>
  </si>
  <si>
    <t>Skin</t>
  </si>
  <si>
    <t>Lung</t>
  </si>
  <si>
    <t>Liver</t>
  </si>
  <si>
    <t>Length</t>
  </si>
  <si>
    <t>Volume</t>
  </si>
  <si>
    <t>mm3</t>
  </si>
  <si>
    <t>Resolution</t>
  </si>
  <si>
    <t>Width</t>
  </si>
  <si>
    <t>cm3</t>
  </si>
  <si>
    <t>Total Permitivity =</t>
  </si>
  <si>
    <t>Age</t>
  </si>
  <si>
    <t>Years</t>
  </si>
  <si>
    <t>Height</t>
  </si>
  <si>
    <t>Density =</t>
  </si>
  <si>
    <t>Weight</t>
  </si>
  <si>
    <t>Kg</t>
  </si>
  <si>
    <t xml:space="preserve">Average Heat 
Capacity = </t>
  </si>
  <si>
    <t>Freq</t>
  </si>
  <si>
    <t>GHz</t>
  </si>
  <si>
    <t xml:space="preserve">Average Conductivity = </t>
  </si>
  <si>
    <t>Angular Velocity</t>
  </si>
  <si>
    <t>rad/km</t>
  </si>
  <si>
    <t xml:space="preserve">Loss Tangent = </t>
  </si>
  <si>
    <t xml:space="preserve">Thermal Conductivity = </t>
  </si>
  <si>
    <t>References</t>
  </si>
  <si>
    <r>
      <t>Gabriel, C., et al.</t>
    </r>
    <r>
      <rPr>
        <sz val="11"/>
        <color theme="1"/>
        <rFont val="Calibri"/>
        <family val="2"/>
        <scheme val="minor"/>
      </rPr>
      <t xml:space="preserve"> (1996). </t>
    </r>
    <r>
      <rPr>
        <i/>
        <sz val="11"/>
        <color theme="1"/>
        <rFont val="Calibri"/>
        <family val="2"/>
        <scheme val="minor"/>
      </rPr>
      <t>The dielectric properties of biological tissues: I. Literature survey</t>
    </r>
    <r>
      <rPr>
        <sz val="11"/>
        <color theme="1"/>
        <rFont val="Calibri"/>
        <family val="2"/>
        <scheme val="minor"/>
      </rPr>
      <t>. Physics in Medicine and Biology.</t>
    </r>
  </si>
  <si>
    <r>
      <t>IT’IS Foundation Database</t>
    </r>
    <r>
      <rPr>
        <sz val="11"/>
        <color theme="1"/>
        <rFont val="Calibri"/>
        <family val="2"/>
        <scheme val="minor"/>
      </rPr>
      <t xml:space="preserve"> – https://itis.swiss/database (widely used reference for EM simulation models).</t>
    </r>
  </si>
  <si>
    <t>Thermal and density estimates were guided by veterinary anatomical physiology averages across common domestic species.</t>
  </si>
  <si>
    <t>CALCULATION OF PARAMETERS OF A VOXEL DOG</t>
  </si>
  <si>
    <t>CALCULATION OF PARAMETERS OF A VOXEL CAT</t>
  </si>
  <si>
    <t>CALCULATION OF PARAMETERS OF A VOXEL COW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</si>
</sst>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mbria"/>
      <family val="1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5" borderId="1" xfId="0" applyFont="1" applyFill="1" applyBorder="1" applyAlignment="1">
      <alignment horizontal="right" vertical="center" wrapText="1"/>
    </xf>
    <xf numFmtId="0" fontId="2" fillId="0" borderId="0" xfId="0" applyFont="1"/>
    <xf numFmtId="0" fontId="0" fillId="7" borderId="1" xfId="0" applyFill="1" applyBorder="1" applyAlignment="1">
      <alignment horizontal="right" vertical="center" wrapText="1"/>
    </xf>
    <xf numFmtId="1" fontId="0" fillId="7" borderId="1" xfId="1" applyNumberFormat="1" applyFont="1" applyFill="1" applyBorder="1" applyAlignment="1">
      <alignment horizontal="right" vertical="center" wrapText="1"/>
    </xf>
    <xf numFmtId="2" fontId="0" fillId="7" borderId="1" xfId="0" applyNumberForma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vertical="center" wrapText="1"/>
    </xf>
    <xf numFmtId="0" fontId="0" fillId="4" borderId="5" xfId="0" applyFill="1" applyBorder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2" fontId="0" fillId="7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zoomScale="64" workbookViewId="0">
      <selection activeCell="X3" sqref="X3"/>
    </sheetView>
  </sheetViews>
  <sheetFormatPr defaultRowHeight="14.5" x14ac:dyDescent="0.35"/>
  <cols>
    <col min="1" max="8" width="8.7265625" style="6"/>
    <col min="9" max="9" width="9.36328125" style="6" bestFit="1" customWidth="1"/>
    <col min="10" max="16384" width="8.7265625" style="6"/>
  </cols>
  <sheetData>
    <row r="1" spans="1:18" ht="23" thickBot="1" x14ac:dyDescent="0.4">
      <c r="A1" s="25" t="s">
        <v>49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ht="29" customHeight="1" x14ac:dyDescent="0.35">
      <c r="A2" s="7" t="s">
        <v>24</v>
      </c>
      <c r="B2" s="8">
        <v>800</v>
      </c>
      <c r="C2" s="28" t="s">
        <v>25</v>
      </c>
      <c r="D2" s="8">
        <f>B2*B3*B4</f>
        <v>96000000</v>
      </c>
      <c r="E2" s="8" t="s">
        <v>26</v>
      </c>
      <c r="G2" s="23" t="s">
        <v>27</v>
      </c>
      <c r="H2" s="24"/>
      <c r="I2" s="9">
        <v>0.98</v>
      </c>
      <c r="J2" s="9">
        <v>10</v>
      </c>
      <c r="O2" s="10"/>
    </row>
    <row r="3" spans="1:18" ht="14.5" customHeight="1" x14ac:dyDescent="0.35">
      <c r="A3" s="11" t="s">
        <v>28</v>
      </c>
      <c r="B3" s="12">
        <v>300</v>
      </c>
      <c r="C3" s="29"/>
      <c r="D3" s="13">
        <f>D2/1000</f>
        <v>96000</v>
      </c>
      <c r="E3" s="12" t="s">
        <v>29</v>
      </c>
      <c r="G3" s="22" t="s">
        <v>30</v>
      </c>
      <c r="H3" s="22"/>
      <c r="I3" s="1">
        <v>2.8976123999999999</v>
      </c>
      <c r="M3" s="11" t="s">
        <v>31</v>
      </c>
      <c r="N3" s="12">
        <v>5</v>
      </c>
      <c r="O3" s="12" t="s">
        <v>32</v>
      </c>
    </row>
    <row r="4" spans="1:18" x14ac:dyDescent="0.35">
      <c r="A4" s="11" t="s">
        <v>33</v>
      </c>
      <c r="B4" s="12">
        <v>400</v>
      </c>
      <c r="G4" s="22" t="s">
        <v>34</v>
      </c>
      <c r="H4" s="22"/>
      <c r="I4" s="1">
        <v>1050.1320000000001</v>
      </c>
      <c r="M4" s="11" t="s">
        <v>35</v>
      </c>
      <c r="N4" s="12">
        <v>25</v>
      </c>
      <c r="O4" s="12" t="s">
        <v>36</v>
      </c>
    </row>
    <row r="5" spans="1:18" ht="14.5" customHeight="1" x14ac:dyDescent="0.35">
      <c r="A5" s="14"/>
      <c r="G5" s="22" t="s">
        <v>37</v>
      </c>
      <c r="H5" s="22"/>
      <c r="I5" s="1">
        <v>3.1123479999999999</v>
      </c>
      <c r="M5" s="11" t="s">
        <v>38</v>
      </c>
      <c r="N5" s="12">
        <v>2.4</v>
      </c>
      <c r="O5" s="12" t="s">
        <v>39</v>
      </c>
    </row>
    <row r="6" spans="1:18" ht="14.5" customHeight="1" x14ac:dyDescent="0.35">
      <c r="A6" s="14"/>
      <c r="G6" s="22" t="s">
        <v>40</v>
      </c>
      <c r="H6" s="22"/>
      <c r="I6" s="1">
        <v>0.98452200000000001</v>
      </c>
      <c r="M6" s="11" t="s">
        <v>41</v>
      </c>
      <c r="N6" s="12">
        <v>12.34</v>
      </c>
      <c r="O6" s="12" t="s">
        <v>42</v>
      </c>
    </row>
    <row r="7" spans="1:18" ht="14.5" customHeight="1" x14ac:dyDescent="0.35">
      <c r="A7" s="14"/>
      <c r="G7" s="22" t="s">
        <v>43</v>
      </c>
      <c r="H7" s="22"/>
      <c r="I7" s="1">
        <v>1.8934200000000002E-2</v>
      </c>
      <c r="O7" s="10"/>
    </row>
    <row r="8" spans="1:18" ht="14.5" customHeight="1" x14ac:dyDescent="0.35">
      <c r="A8" s="14"/>
      <c r="G8" s="22" t="s">
        <v>44</v>
      </c>
      <c r="H8" s="22"/>
      <c r="I8" s="1">
        <v>0.41259829999999997</v>
      </c>
      <c r="O8" s="10"/>
    </row>
    <row r="9" spans="1:18" x14ac:dyDescent="0.35">
      <c r="A9" s="14"/>
      <c r="G9" s="15"/>
      <c r="H9" s="15"/>
      <c r="I9" s="16"/>
      <c r="O9" s="10"/>
    </row>
    <row r="10" spans="1:18" ht="58" x14ac:dyDescent="0.35">
      <c r="A10" s="17" t="s">
        <v>0</v>
      </c>
      <c r="B10" s="17" t="s">
        <v>1</v>
      </c>
      <c r="C10" s="17" t="s">
        <v>2</v>
      </c>
      <c r="D10" s="17" t="s">
        <v>3</v>
      </c>
      <c r="E10" s="17" t="s">
        <v>4</v>
      </c>
      <c r="F10" s="17" t="s">
        <v>5</v>
      </c>
      <c r="G10" s="17" t="s">
        <v>6</v>
      </c>
      <c r="H10" s="17" t="s">
        <v>7</v>
      </c>
      <c r="I10" s="17" t="s">
        <v>8</v>
      </c>
      <c r="J10" s="17" t="s">
        <v>9</v>
      </c>
      <c r="K10" s="17" t="s">
        <v>10</v>
      </c>
      <c r="L10" s="17" t="s">
        <v>11</v>
      </c>
      <c r="M10" s="17" t="s">
        <v>12</v>
      </c>
      <c r="N10" s="18" t="s">
        <v>13</v>
      </c>
      <c r="O10" s="19" t="s">
        <v>14</v>
      </c>
      <c r="P10" s="18" t="s">
        <v>15</v>
      </c>
      <c r="Q10" s="18" t="s">
        <v>16</v>
      </c>
    </row>
    <row r="11" spans="1:18" x14ac:dyDescent="0.35">
      <c r="A11" s="17" t="s">
        <v>17</v>
      </c>
      <c r="B11" s="17">
        <v>1</v>
      </c>
      <c r="C11" s="17">
        <v>52</v>
      </c>
      <c r="D11" s="17">
        <v>1</v>
      </c>
      <c r="E11" s="17">
        <v>1.2</v>
      </c>
      <c r="F11" s="17">
        <v>1040</v>
      </c>
      <c r="G11" s="17">
        <v>0.5</v>
      </c>
      <c r="H11" s="17">
        <v>3.6</v>
      </c>
      <c r="I11" s="17">
        <v>900000</v>
      </c>
      <c r="J11" s="17">
        <v>50000</v>
      </c>
      <c r="K11" s="17">
        <v>255</v>
      </c>
      <c r="L11" s="17">
        <v>100</v>
      </c>
      <c r="M11" s="17">
        <v>100</v>
      </c>
      <c r="N11" s="20">
        <v>1.04</v>
      </c>
      <c r="O11" s="21">
        <v>30</v>
      </c>
      <c r="P11" s="20">
        <v>28800</v>
      </c>
      <c r="Q11" s="20">
        <v>15600</v>
      </c>
    </row>
    <row r="12" spans="1:18" x14ac:dyDescent="0.35">
      <c r="A12" s="17" t="s">
        <v>18</v>
      </c>
      <c r="B12" s="17">
        <v>2</v>
      </c>
      <c r="C12" s="17">
        <v>15</v>
      </c>
      <c r="D12" s="17">
        <v>1</v>
      </c>
      <c r="E12" s="17">
        <v>0.1</v>
      </c>
      <c r="F12" s="17">
        <v>920</v>
      </c>
      <c r="G12" s="17">
        <v>0.2</v>
      </c>
      <c r="H12" s="17">
        <v>2.2999999999999998</v>
      </c>
      <c r="I12" s="17">
        <v>10000</v>
      </c>
      <c r="J12" s="17">
        <v>1000</v>
      </c>
      <c r="K12" s="17">
        <v>255</v>
      </c>
      <c r="L12" s="17">
        <v>255</v>
      </c>
      <c r="M12" s="17">
        <v>100</v>
      </c>
      <c r="N12" s="20">
        <v>0.92</v>
      </c>
      <c r="O12" s="21">
        <v>20</v>
      </c>
      <c r="P12" s="20">
        <v>19200</v>
      </c>
      <c r="Q12" s="20">
        <v>3840</v>
      </c>
    </row>
    <row r="13" spans="1:18" ht="29" x14ac:dyDescent="0.35">
      <c r="A13" s="17" t="s">
        <v>19</v>
      </c>
      <c r="B13" s="17">
        <v>3</v>
      </c>
      <c r="C13" s="17">
        <v>12</v>
      </c>
      <c r="D13" s="17">
        <v>1</v>
      </c>
      <c r="E13" s="17">
        <v>0.3</v>
      </c>
      <c r="F13" s="17">
        <v>1200</v>
      </c>
      <c r="G13" s="17">
        <v>0.4</v>
      </c>
      <c r="H13" s="17">
        <v>1.8</v>
      </c>
      <c r="I13" s="17">
        <v>20000</v>
      </c>
      <c r="J13" s="17">
        <v>3000</v>
      </c>
      <c r="K13" s="17">
        <v>180</v>
      </c>
      <c r="L13" s="17">
        <v>180</v>
      </c>
      <c r="M13" s="17">
        <v>180</v>
      </c>
      <c r="N13" s="20">
        <v>1.2</v>
      </c>
      <c r="O13" s="3">
        <v>15</v>
      </c>
      <c r="P13" s="4">
        <v>14400</v>
      </c>
      <c r="Q13" s="3">
        <v>2880</v>
      </c>
    </row>
    <row r="14" spans="1:18" x14ac:dyDescent="0.35">
      <c r="A14" s="17" t="s">
        <v>20</v>
      </c>
      <c r="B14" s="17">
        <v>4</v>
      </c>
      <c r="C14" s="17">
        <v>48</v>
      </c>
      <c r="D14" s="17">
        <v>1</v>
      </c>
      <c r="E14" s="17">
        <v>0.7</v>
      </c>
      <c r="F14" s="17">
        <v>1050</v>
      </c>
      <c r="G14" s="17">
        <v>0.6</v>
      </c>
      <c r="H14" s="17">
        <v>3.7</v>
      </c>
      <c r="I14" s="17">
        <v>50000</v>
      </c>
      <c r="J14" s="17">
        <v>60000</v>
      </c>
      <c r="K14" s="17">
        <v>180</v>
      </c>
      <c r="L14" s="17">
        <v>100</v>
      </c>
      <c r="M14" s="17">
        <v>255</v>
      </c>
      <c r="N14" s="20">
        <v>1.05</v>
      </c>
      <c r="O14" s="5">
        <v>5</v>
      </c>
      <c r="P14" s="4">
        <v>4800</v>
      </c>
      <c r="Q14" s="3">
        <v>2400</v>
      </c>
    </row>
    <row r="15" spans="1:18" x14ac:dyDescent="0.35">
      <c r="A15" s="17" t="s">
        <v>21</v>
      </c>
      <c r="B15" s="17">
        <v>5</v>
      </c>
      <c r="C15" s="17">
        <v>38</v>
      </c>
      <c r="D15" s="17">
        <v>1</v>
      </c>
      <c r="E15" s="17">
        <v>0.9</v>
      </c>
      <c r="F15" s="17">
        <v>1100</v>
      </c>
      <c r="G15" s="17">
        <v>0.3</v>
      </c>
      <c r="H15" s="17">
        <v>3.1</v>
      </c>
      <c r="I15" s="17">
        <v>100000</v>
      </c>
      <c r="J15" s="17">
        <v>30000</v>
      </c>
      <c r="K15" s="17">
        <v>255</v>
      </c>
      <c r="L15" s="17">
        <v>200</v>
      </c>
      <c r="M15" s="17">
        <v>180</v>
      </c>
      <c r="N15" s="18">
        <v>1.1000000000000001</v>
      </c>
      <c r="O15" s="19">
        <v>10</v>
      </c>
      <c r="P15" s="18">
        <v>9600</v>
      </c>
      <c r="Q15" s="18">
        <v>3800</v>
      </c>
    </row>
    <row r="16" spans="1:18" x14ac:dyDescent="0.35">
      <c r="A16" s="17" t="s">
        <v>22</v>
      </c>
      <c r="B16" s="17">
        <v>6</v>
      </c>
      <c r="C16" s="17">
        <v>25</v>
      </c>
      <c r="D16" s="17">
        <v>1</v>
      </c>
      <c r="E16" s="17">
        <v>0.4</v>
      </c>
      <c r="F16" s="17">
        <v>1000</v>
      </c>
      <c r="G16" s="17">
        <v>0.4</v>
      </c>
      <c r="H16" s="17">
        <v>3.2</v>
      </c>
      <c r="I16" s="17">
        <v>30000</v>
      </c>
      <c r="J16" s="17">
        <v>20000</v>
      </c>
      <c r="K16" s="17">
        <v>150</v>
      </c>
      <c r="L16" s="17">
        <v>150</v>
      </c>
      <c r="M16" s="17">
        <v>255</v>
      </c>
      <c r="N16" s="20">
        <v>1</v>
      </c>
      <c r="O16" s="21">
        <v>10</v>
      </c>
      <c r="P16" s="20">
        <v>9600</v>
      </c>
      <c r="Q16" s="20">
        <v>2500</v>
      </c>
    </row>
    <row r="17" spans="1:17" x14ac:dyDescent="0.35">
      <c r="A17" s="17" t="s">
        <v>23</v>
      </c>
      <c r="B17" s="17">
        <v>7</v>
      </c>
      <c r="C17" s="17">
        <v>45</v>
      </c>
      <c r="D17" s="17">
        <v>1</v>
      </c>
      <c r="E17" s="17">
        <v>1.5</v>
      </c>
      <c r="F17" s="17">
        <v>1080</v>
      </c>
      <c r="G17" s="17">
        <v>0.5</v>
      </c>
      <c r="H17" s="17">
        <v>3.5</v>
      </c>
      <c r="I17" s="17">
        <v>600000</v>
      </c>
      <c r="J17" s="17">
        <v>40000</v>
      </c>
      <c r="K17" s="17">
        <v>200</v>
      </c>
      <c r="L17" s="17">
        <v>0</v>
      </c>
      <c r="M17" s="17">
        <v>0</v>
      </c>
      <c r="N17" s="20">
        <v>1.08</v>
      </c>
      <c r="O17" s="21">
        <v>10</v>
      </c>
      <c r="P17" s="20">
        <v>9600</v>
      </c>
      <c r="Q17" s="20">
        <v>4500</v>
      </c>
    </row>
    <row r="18" spans="1:17" x14ac:dyDescent="0.35">
      <c r="Q18" s="6">
        <f>AVERAGE(Q11:Q17)</f>
        <v>5074.2857142857147</v>
      </c>
    </row>
  </sheetData>
  <mergeCells count="9">
    <mergeCell ref="G7:H7"/>
    <mergeCell ref="G8:H8"/>
    <mergeCell ref="G2:H2"/>
    <mergeCell ref="A1:R1"/>
    <mergeCell ref="C2:C3"/>
    <mergeCell ref="G3:H3"/>
    <mergeCell ref="G4:H4"/>
    <mergeCell ref="G5:H5"/>
    <mergeCell ref="G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F71E-348B-4B43-9017-2B42173B149C}">
  <dimension ref="A1:R18"/>
  <sheetViews>
    <sheetView tabSelected="1" zoomScale="64" workbookViewId="0">
      <selection activeCell="E6" sqref="E6"/>
    </sheetView>
  </sheetViews>
  <sheetFormatPr defaultRowHeight="14.5" x14ac:dyDescent="0.35"/>
  <cols>
    <col min="1" max="8" width="8.7265625" style="6"/>
    <col min="9" max="9" width="9.36328125" style="6" bestFit="1" customWidth="1"/>
    <col min="10" max="16384" width="8.7265625" style="6"/>
  </cols>
  <sheetData>
    <row r="1" spans="1:18" ht="23" thickBot="1" x14ac:dyDescent="0.4">
      <c r="A1" s="25" t="s">
        <v>51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ht="29" customHeight="1" x14ac:dyDescent="0.35">
      <c r="A2" s="7" t="s">
        <v>24</v>
      </c>
      <c r="B2" s="8">
        <v>4600</v>
      </c>
      <c r="C2" s="28" t="s">
        <v>25</v>
      </c>
      <c r="D2" s="8">
        <f>B2*B3*B4</f>
        <v>126960000</v>
      </c>
      <c r="E2" s="8" t="s">
        <v>26</v>
      </c>
      <c r="G2" s="23" t="s">
        <v>27</v>
      </c>
      <c r="H2" s="24"/>
      <c r="I2" s="9">
        <v>0.98</v>
      </c>
      <c r="J2" s="9">
        <v>10</v>
      </c>
      <c r="O2" s="10"/>
    </row>
    <row r="3" spans="1:18" ht="14.5" customHeight="1" x14ac:dyDescent="0.35">
      <c r="A3" s="11" t="s">
        <v>28</v>
      </c>
      <c r="B3" s="12">
        <v>120</v>
      </c>
      <c r="C3" s="29"/>
      <c r="D3" s="13">
        <f>D2/1000</f>
        <v>126960</v>
      </c>
      <c r="E3" s="12" t="s">
        <v>29</v>
      </c>
      <c r="G3" s="22" t="s">
        <v>30</v>
      </c>
      <c r="H3" s="22"/>
      <c r="I3" s="1">
        <v>37.590000000000003</v>
      </c>
      <c r="M3" s="11" t="s">
        <v>31</v>
      </c>
      <c r="N3" s="12">
        <v>6</v>
      </c>
      <c r="O3" s="12" t="s">
        <v>32</v>
      </c>
    </row>
    <row r="4" spans="1:18" x14ac:dyDescent="0.35">
      <c r="A4" s="11" t="s">
        <v>33</v>
      </c>
      <c r="B4" s="12">
        <v>230</v>
      </c>
      <c r="G4" s="22" t="s">
        <v>34</v>
      </c>
      <c r="H4" s="22"/>
      <c r="I4" s="1">
        <v>1056.78</v>
      </c>
      <c r="M4" s="11" t="s">
        <v>35</v>
      </c>
      <c r="N4" s="12">
        <v>5</v>
      </c>
      <c r="O4" s="12" t="s">
        <v>36</v>
      </c>
    </row>
    <row r="5" spans="1:18" ht="14.5" customHeight="1" x14ac:dyDescent="0.35">
      <c r="A5" s="14"/>
      <c r="G5" s="22" t="s">
        <v>37</v>
      </c>
      <c r="H5" s="22"/>
      <c r="I5" s="1">
        <v>3.18</v>
      </c>
      <c r="M5" s="11" t="s">
        <v>38</v>
      </c>
      <c r="N5" s="12">
        <v>2.4</v>
      </c>
      <c r="O5" s="12" t="s">
        <v>39</v>
      </c>
    </row>
    <row r="6" spans="1:18" ht="14.5" customHeight="1" x14ac:dyDescent="0.35">
      <c r="A6" s="14"/>
      <c r="G6" s="22" t="s">
        <v>40</v>
      </c>
      <c r="H6" s="22"/>
      <c r="I6" s="1">
        <v>0.85509999999999997</v>
      </c>
      <c r="M6" s="11" t="s">
        <v>41</v>
      </c>
      <c r="N6" s="12">
        <v>12.34</v>
      </c>
      <c r="O6" s="12" t="s">
        <v>42</v>
      </c>
    </row>
    <row r="7" spans="1:18" ht="14.5" customHeight="1" x14ac:dyDescent="0.35">
      <c r="A7" s="14"/>
      <c r="G7" s="22" t="s">
        <v>43</v>
      </c>
      <c r="H7" s="22"/>
      <c r="I7" s="1">
        <v>2.1000000000000001E-2</v>
      </c>
      <c r="O7" s="10"/>
    </row>
    <row r="8" spans="1:18" ht="14.5" customHeight="1" x14ac:dyDescent="0.35">
      <c r="A8" s="14"/>
      <c r="G8" s="22" t="s">
        <v>44</v>
      </c>
      <c r="H8" s="22"/>
      <c r="I8" s="1">
        <v>0.46289999999999998</v>
      </c>
      <c r="O8" s="10"/>
    </row>
    <row r="9" spans="1:18" x14ac:dyDescent="0.35">
      <c r="A9" s="14"/>
      <c r="G9" s="15"/>
      <c r="H9" s="15"/>
      <c r="I9" s="16"/>
      <c r="O9" s="10"/>
    </row>
    <row r="10" spans="1:18" ht="58" x14ac:dyDescent="0.35">
      <c r="A10" s="17" t="s">
        <v>0</v>
      </c>
      <c r="B10" s="17" t="s">
        <v>1</v>
      </c>
      <c r="C10" s="17" t="s">
        <v>2</v>
      </c>
      <c r="D10" s="17" t="s">
        <v>3</v>
      </c>
      <c r="E10" s="17" t="s">
        <v>4</v>
      </c>
      <c r="F10" s="17" t="s">
        <v>5</v>
      </c>
      <c r="G10" s="17" t="s">
        <v>6</v>
      </c>
      <c r="H10" s="17" t="s">
        <v>7</v>
      </c>
      <c r="I10" s="17" t="s">
        <v>8</v>
      </c>
      <c r="J10" s="17" t="s">
        <v>9</v>
      </c>
      <c r="K10" s="17" t="s">
        <v>10</v>
      </c>
      <c r="L10" s="17" t="s">
        <v>11</v>
      </c>
      <c r="M10" s="17" t="s">
        <v>12</v>
      </c>
      <c r="N10" s="18" t="s">
        <v>13</v>
      </c>
      <c r="O10" s="19" t="s">
        <v>14</v>
      </c>
      <c r="P10" s="18" t="s">
        <v>15</v>
      </c>
      <c r="Q10" s="18" t="s">
        <v>16</v>
      </c>
    </row>
    <row r="11" spans="1:18" x14ac:dyDescent="0.35">
      <c r="A11" s="17" t="s">
        <v>17</v>
      </c>
      <c r="B11" s="17">
        <v>1</v>
      </c>
      <c r="C11" s="17">
        <v>55</v>
      </c>
      <c r="D11" s="17">
        <v>1</v>
      </c>
      <c r="E11" s="17">
        <v>1.3</v>
      </c>
      <c r="F11" s="17">
        <v>1050</v>
      </c>
      <c r="G11" s="17">
        <v>0.55000000000000004</v>
      </c>
      <c r="H11" s="17">
        <v>3.7</v>
      </c>
      <c r="I11" s="17">
        <v>1000000</v>
      </c>
      <c r="J11" s="17">
        <v>55000</v>
      </c>
      <c r="K11" s="17">
        <v>240</v>
      </c>
      <c r="L11" s="17">
        <v>90</v>
      </c>
      <c r="M11" s="17">
        <v>90</v>
      </c>
      <c r="N11" s="20">
        <v>1.05</v>
      </c>
      <c r="O11" s="21">
        <v>35</v>
      </c>
      <c r="P11" s="20">
        <v>35250</v>
      </c>
      <c r="Q11" s="20">
        <v>19250</v>
      </c>
    </row>
    <row r="12" spans="1:18" x14ac:dyDescent="0.35">
      <c r="A12" s="17" t="s">
        <v>18</v>
      </c>
      <c r="B12" s="17">
        <v>2</v>
      </c>
      <c r="C12" s="17">
        <v>16</v>
      </c>
      <c r="D12" s="17">
        <v>1</v>
      </c>
      <c r="E12" s="17">
        <v>0.12</v>
      </c>
      <c r="F12" s="17">
        <v>910</v>
      </c>
      <c r="G12" s="17">
        <v>0.25</v>
      </c>
      <c r="H12" s="17">
        <v>2.5</v>
      </c>
      <c r="I12" s="17">
        <v>12000</v>
      </c>
      <c r="J12" s="17">
        <v>1200</v>
      </c>
      <c r="K12" s="17">
        <v>250</v>
      </c>
      <c r="L12" s="17">
        <v>240</v>
      </c>
      <c r="M12" s="17">
        <v>90</v>
      </c>
      <c r="N12" s="20">
        <v>0.91</v>
      </c>
      <c r="O12" s="21">
        <v>18</v>
      </c>
      <c r="P12" s="20">
        <v>18180</v>
      </c>
      <c r="Q12" s="20">
        <v>2916</v>
      </c>
    </row>
    <row r="13" spans="1:18" ht="29" x14ac:dyDescent="0.35">
      <c r="A13" s="17" t="s">
        <v>19</v>
      </c>
      <c r="B13" s="17">
        <v>3</v>
      </c>
      <c r="C13" s="17">
        <v>14</v>
      </c>
      <c r="D13" s="17">
        <v>1</v>
      </c>
      <c r="E13" s="17">
        <v>0.35</v>
      </c>
      <c r="F13" s="17">
        <v>1250</v>
      </c>
      <c r="G13" s="17">
        <v>0.45</v>
      </c>
      <c r="H13" s="17">
        <v>2</v>
      </c>
      <c r="I13" s="17">
        <v>25000</v>
      </c>
      <c r="J13" s="17">
        <v>3500</v>
      </c>
      <c r="K13" s="17">
        <v>160</v>
      </c>
      <c r="L13" s="17">
        <v>160</v>
      </c>
      <c r="M13" s="17">
        <v>160</v>
      </c>
      <c r="N13" s="20">
        <v>1.25</v>
      </c>
      <c r="O13" s="3">
        <v>14</v>
      </c>
      <c r="P13" s="4">
        <v>14175</v>
      </c>
      <c r="Q13" s="3">
        <v>3465</v>
      </c>
    </row>
    <row r="14" spans="1:18" x14ac:dyDescent="0.35">
      <c r="A14" s="17" t="s">
        <v>20</v>
      </c>
      <c r="B14" s="17">
        <v>4</v>
      </c>
      <c r="C14" s="17">
        <v>50</v>
      </c>
      <c r="D14" s="17">
        <v>1</v>
      </c>
      <c r="E14" s="17">
        <v>0.75</v>
      </c>
      <c r="F14" s="17">
        <v>1060</v>
      </c>
      <c r="G14" s="17">
        <v>0.65</v>
      </c>
      <c r="H14" s="17">
        <v>3.8</v>
      </c>
      <c r="I14" s="17">
        <v>55000</v>
      </c>
      <c r="J14" s="17">
        <v>65000</v>
      </c>
      <c r="K14" s="17">
        <v>190</v>
      </c>
      <c r="L14" s="17">
        <v>90</v>
      </c>
      <c r="M14" s="17">
        <v>250</v>
      </c>
      <c r="N14" s="20">
        <v>1.06</v>
      </c>
      <c r="O14" s="5">
        <v>6</v>
      </c>
      <c r="P14" s="4">
        <v>6075</v>
      </c>
      <c r="Q14" s="3">
        <v>3000</v>
      </c>
    </row>
    <row r="15" spans="1:18" x14ac:dyDescent="0.35">
      <c r="A15" s="17" t="s">
        <v>21</v>
      </c>
      <c r="B15" s="17">
        <v>5</v>
      </c>
      <c r="C15" s="17">
        <v>40</v>
      </c>
      <c r="D15" s="17">
        <v>1</v>
      </c>
      <c r="E15" s="17">
        <v>1</v>
      </c>
      <c r="F15" s="17">
        <v>1120</v>
      </c>
      <c r="G15" s="17">
        <v>0.35</v>
      </c>
      <c r="H15" s="17">
        <v>3.3</v>
      </c>
      <c r="I15" s="17">
        <v>110000</v>
      </c>
      <c r="J15" s="17">
        <v>35000</v>
      </c>
      <c r="K15" s="17">
        <v>250</v>
      </c>
      <c r="L15" s="17">
        <v>210</v>
      </c>
      <c r="M15" s="17">
        <v>190</v>
      </c>
      <c r="N15" s="18">
        <v>1.1200000000000001</v>
      </c>
      <c r="O15" s="19">
        <v>8</v>
      </c>
      <c r="P15" s="18">
        <v>8100</v>
      </c>
      <c r="Q15" s="18">
        <v>3200</v>
      </c>
    </row>
    <row r="16" spans="1:18" x14ac:dyDescent="0.35">
      <c r="A16" s="17" t="s">
        <v>22</v>
      </c>
      <c r="B16" s="17">
        <v>6</v>
      </c>
      <c r="C16" s="17">
        <v>28</v>
      </c>
      <c r="D16" s="17">
        <v>1</v>
      </c>
      <c r="E16" s="17">
        <v>0.5</v>
      </c>
      <c r="F16" s="17">
        <v>980</v>
      </c>
      <c r="G16" s="17">
        <v>0.45</v>
      </c>
      <c r="H16" s="17">
        <v>3.4</v>
      </c>
      <c r="I16" s="17">
        <v>35000</v>
      </c>
      <c r="J16" s="17">
        <v>25000</v>
      </c>
      <c r="K16" s="17">
        <v>130</v>
      </c>
      <c r="L16" s="17">
        <v>140</v>
      </c>
      <c r="M16" s="17">
        <v>250</v>
      </c>
      <c r="N16" s="20">
        <v>0.98</v>
      </c>
      <c r="O16" s="21">
        <v>9</v>
      </c>
      <c r="P16" s="20">
        <v>9113</v>
      </c>
      <c r="Q16" s="20">
        <v>2520</v>
      </c>
    </row>
    <row r="17" spans="1:17" x14ac:dyDescent="0.35">
      <c r="A17" s="17" t="s">
        <v>23</v>
      </c>
      <c r="B17" s="17">
        <v>7</v>
      </c>
      <c r="C17" s="17">
        <v>48</v>
      </c>
      <c r="D17" s="17">
        <v>1</v>
      </c>
      <c r="E17" s="17">
        <v>1.6</v>
      </c>
      <c r="F17" s="17">
        <v>1090</v>
      </c>
      <c r="G17" s="17">
        <v>0.55000000000000004</v>
      </c>
      <c r="H17" s="17">
        <v>3.6</v>
      </c>
      <c r="I17" s="17">
        <v>650000</v>
      </c>
      <c r="J17" s="17">
        <v>45000</v>
      </c>
      <c r="K17" s="17">
        <v>210</v>
      </c>
      <c r="L17" s="17">
        <v>10</v>
      </c>
      <c r="M17" s="17">
        <v>10</v>
      </c>
      <c r="N17" s="20">
        <v>1.0900000000000001</v>
      </c>
      <c r="O17" s="21">
        <v>10</v>
      </c>
      <c r="P17" s="20">
        <v>10125</v>
      </c>
      <c r="Q17" s="20">
        <v>4800</v>
      </c>
    </row>
    <row r="18" spans="1:17" x14ac:dyDescent="0.35">
      <c r="Q18" s="6">
        <f>AVERAGE(Q11:Q17)</f>
        <v>5593</v>
      </c>
    </row>
  </sheetData>
  <mergeCells count="9">
    <mergeCell ref="G7:H7"/>
    <mergeCell ref="G8:H8"/>
    <mergeCell ref="G2:H2"/>
    <mergeCell ref="A1:R1"/>
    <mergeCell ref="C2:C3"/>
    <mergeCell ref="G3:H3"/>
    <mergeCell ref="G4:H4"/>
    <mergeCell ref="G5:H5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7529-5AF5-4EA0-A654-93FD6BB1F33D}">
  <dimension ref="A1:A7"/>
  <sheetViews>
    <sheetView workbookViewId="0">
      <selection activeCell="A3" sqref="A3:A7"/>
    </sheetView>
  </sheetViews>
  <sheetFormatPr defaultRowHeight="14.5" x14ac:dyDescent="0.35"/>
  <sheetData>
    <row r="1" spans="1:1" x14ac:dyDescent="0.35">
      <c r="A1" t="s">
        <v>45</v>
      </c>
    </row>
    <row r="3" spans="1:1" x14ac:dyDescent="0.35">
      <c r="A3" s="2" t="s">
        <v>46</v>
      </c>
    </row>
    <row r="5" spans="1:1" x14ac:dyDescent="0.35">
      <c r="A5" s="2" t="s">
        <v>47</v>
      </c>
    </row>
    <row r="7" spans="1:1" x14ac:dyDescent="0.35">
      <c r="A7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541C-F449-420A-A04D-681204FEF516}">
  <dimension ref="A1:R18"/>
  <sheetViews>
    <sheetView zoomScale="64" workbookViewId="0">
      <selection activeCell="C6" sqref="C6"/>
    </sheetView>
  </sheetViews>
  <sheetFormatPr defaultRowHeight="14.5" x14ac:dyDescent="0.35"/>
  <cols>
    <col min="1" max="8" width="8.7265625" style="6"/>
    <col min="9" max="9" width="9.36328125" style="6" bestFit="1" customWidth="1"/>
    <col min="10" max="16384" width="8.7265625" style="6"/>
  </cols>
  <sheetData>
    <row r="1" spans="1:18" ht="23" thickBot="1" x14ac:dyDescent="0.4">
      <c r="A1" s="25" t="s">
        <v>50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ht="29" customHeight="1" x14ac:dyDescent="0.35">
      <c r="A2" s="7" t="s">
        <v>24</v>
      </c>
      <c r="B2" s="8">
        <v>260</v>
      </c>
      <c r="C2" s="28" t="s">
        <v>25</v>
      </c>
      <c r="D2" s="8">
        <f>B2*B3*B4</f>
        <v>3510000</v>
      </c>
      <c r="E2" s="8" t="s">
        <v>26</v>
      </c>
      <c r="G2" s="23" t="s">
        <v>27</v>
      </c>
      <c r="H2" s="24"/>
      <c r="I2" s="9">
        <v>0.98</v>
      </c>
      <c r="J2" s="9">
        <v>10</v>
      </c>
      <c r="O2" s="10"/>
    </row>
    <row r="3" spans="1:18" ht="14.5" customHeight="1" x14ac:dyDescent="0.35">
      <c r="A3" s="11" t="s">
        <v>28</v>
      </c>
      <c r="B3" s="12">
        <v>150</v>
      </c>
      <c r="C3" s="29"/>
      <c r="D3" s="13">
        <f>D2/1000</f>
        <v>3510</v>
      </c>
      <c r="E3" s="12" t="s">
        <v>29</v>
      </c>
      <c r="G3" s="22" t="s">
        <v>30</v>
      </c>
      <c r="H3" s="22"/>
      <c r="I3" s="1">
        <v>32</v>
      </c>
      <c r="M3" s="11" t="s">
        <v>31</v>
      </c>
      <c r="N3" s="12">
        <v>6</v>
      </c>
      <c r="O3" s="12" t="s">
        <v>32</v>
      </c>
    </row>
    <row r="4" spans="1:18" x14ac:dyDescent="0.35">
      <c r="A4" s="11" t="s">
        <v>33</v>
      </c>
      <c r="B4" s="12">
        <v>90</v>
      </c>
      <c r="G4" s="22" t="s">
        <v>34</v>
      </c>
      <c r="H4" s="22"/>
      <c r="I4" s="1">
        <v>1027</v>
      </c>
      <c r="M4" s="11" t="s">
        <v>35</v>
      </c>
      <c r="N4" s="12">
        <v>700</v>
      </c>
      <c r="O4" s="12" t="s">
        <v>36</v>
      </c>
    </row>
    <row r="5" spans="1:18" ht="14.5" customHeight="1" x14ac:dyDescent="0.35">
      <c r="A5" s="14"/>
      <c r="G5" s="22" t="s">
        <v>37</v>
      </c>
      <c r="H5" s="22"/>
      <c r="I5" s="1">
        <v>2.8730000000000002</v>
      </c>
      <c r="M5" s="11" t="s">
        <v>38</v>
      </c>
      <c r="N5" s="12">
        <v>2.4</v>
      </c>
      <c r="O5" s="12" t="s">
        <v>39</v>
      </c>
    </row>
    <row r="6" spans="1:18" ht="14.5" customHeight="1" x14ac:dyDescent="0.35">
      <c r="A6" s="14"/>
      <c r="G6" s="22" t="s">
        <v>40</v>
      </c>
      <c r="H6" s="22"/>
      <c r="I6" s="1">
        <v>0.64480000000000004</v>
      </c>
      <c r="M6" s="11" t="s">
        <v>41</v>
      </c>
      <c r="N6" s="12">
        <v>12.34</v>
      </c>
      <c r="O6" s="12" t="s">
        <v>42</v>
      </c>
    </row>
    <row r="7" spans="1:18" ht="14.5" customHeight="1" x14ac:dyDescent="0.35">
      <c r="A7" s="14"/>
      <c r="G7" s="22" t="s">
        <v>43</v>
      </c>
      <c r="H7" s="22"/>
      <c r="I7" s="1">
        <v>1.8200000000000001E-2</v>
      </c>
      <c r="O7" s="10"/>
    </row>
    <row r="8" spans="1:18" ht="14.5" customHeight="1" x14ac:dyDescent="0.35">
      <c r="A8" s="14"/>
      <c r="G8" s="22" t="s">
        <v>44</v>
      </c>
      <c r="H8" s="22"/>
      <c r="I8" s="1">
        <v>0.38940000000000002</v>
      </c>
      <c r="O8" s="10"/>
    </row>
    <row r="9" spans="1:18" x14ac:dyDescent="0.35">
      <c r="A9" s="14"/>
      <c r="G9" s="15"/>
      <c r="H9" s="15"/>
      <c r="I9" s="16"/>
      <c r="O9" s="10"/>
    </row>
    <row r="10" spans="1:18" ht="58" x14ac:dyDescent="0.35">
      <c r="A10" s="17" t="s">
        <v>0</v>
      </c>
      <c r="B10" s="17" t="s">
        <v>1</v>
      </c>
      <c r="C10" s="17" t="s">
        <v>2</v>
      </c>
      <c r="D10" s="17" t="s">
        <v>3</v>
      </c>
      <c r="E10" s="17" t="s">
        <v>4</v>
      </c>
      <c r="F10" s="17" t="s">
        <v>5</v>
      </c>
      <c r="G10" s="17" t="s">
        <v>6</v>
      </c>
      <c r="H10" s="17" t="s">
        <v>7</v>
      </c>
      <c r="I10" s="17" t="s">
        <v>8</v>
      </c>
      <c r="J10" s="17" t="s">
        <v>9</v>
      </c>
      <c r="K10" s="17" t="s">
        <v>10</v>
      </c>
      <c r="L10" s="17" t="s">
        <v>11</v>
      </c>
      <c r="M10" s="17" t="s">
        <v>12</v>
      </c>
      <c r="N10" s="18" t="s">
        <v>13</v>
      </c>
      <c r="O10" s="19" t="s">
        <v>14</v>
      </c>
      <c r="P10" s="18" t="s">
        <v>15</v>
      </c>
      <c r="Q10" s="18" t="s">
        <v>16</v>
      </c>
    </row>
    <row r="11" spans="1:18" x14ac:dyDescent="0.35">
      <c r="A11" s="17" t="s">
        <v>17</v>
      </c>
      <c r="B11" s="17">
        <v>1</v>
      </c>
      <c r="C11" s="17">
        <v>50</v>
      </c>
      <c r="D11" s="17">
        <v>1</v>
      </c>
      <c r="E11" s="17">
        <v>1.1000000000000001</v>
      </c>
      <c r="F11" s="17">
        <v>1030</v>
      </c>
      <c r="G11" s="17">
        <v>0.48</v>
      </c>
      <c r="H11" s="17">
        <v>3.5</v>
      </c>
      <c r="I11" s="17">
        <v>800000</v>
      </c>
      <c r="J11" s="17">
        <v>48000</v>
      </c>
      <c r="K11" s="17">
        <v>245</v>
      </c>
      <c r="L11" s="17">
        <v>95</v>
      </c>
      <c r="M11" s="17">
        <v>95</v>
      </c>
      <c r="N11" s="20">
        <v>1.03</v>
      </c>
      <c r="O11" s="21">
        <v>28</v>
      </c>
      <c r="P11" s="20">
        <v>23520</v>
      </c>
      <c r="Q11" s="20">
        <v>14400</v>
      </c>
    </row>
    <row r="12" spans="1:18" x14ac:dyDescent="0.35">
      <c r="A12" s="17" t="s">
        <v>18</v>
      </c>
      <c r="B12" s="17">
        <v>2</v>
      </c>
      <c r="C12" s="17">
        <v>14</v>
      </c>
      <c r="D12" s="17">
        <v>1</v>
      </c>
      <c r="E12" s="17">
        <v>0.09</v>
      </c>
      <c r="F12" s="17">
        <v>930</v>
      </c>
      <c r="G12" s="17">
        <v>0.18</v>
      </c>
      <c r="H12" s="17">
        <v>2.1</v>
      </c>
      <c r="I12" s="17">
        <v>9000</v>
      </c>
      <c r="J12" s="17">
        <v>900</v>
      </c>
      <c r="K12" s="17">
        <v>248</v>
      </c>
      <c r="L12" s="17">
        <v>250</v>
      </c>
      <c r="M12" s="17">
        <v>95</v>
      </c>
      <c r="N12" s="20">
        <v>0.93</v>
      </c>
      <c r="O12" s="21">
        <v>22</v>
      </c>
      <c r="P12" s="20">
        <v>18480</v>
      </c>
      <c r="Q12" s="20">
        <v>3080</v>
      </c>
    </row>
    <row r="13" spans="1:18" ht="29" x14ac:dyDescent="0.35">
      <c r="A13" s="17" t="s">
        <v>19</v>
      </c>
      <c r="B13" s="17">
        <v>3</v>
      </c>
      <c r="C13" s="17">
        <v>10</v>
      </c>
      <c r="D13" s="17">
        <v>1</v>
      </c>
      <c r="E13" s="17">
        <v>0.25</v>
      </c>
      <c r="F13" s="17">
        <v>1150</v>
      </c>
      <c r="G13" s="17">
        <v>0.38</v>
      </c>
      <c r="H13" s="17">
        <v>1.6</v>
      </c>
      <c r="I13" s="17">
        <v>15000</v>
      </c>
      <c r="J13" s="17">
        <v>2500</v>
      </c>
      <c r="K13" s="17">
        <v>170</v>
      </c>
      <c r="L13" s="17">
        <v>170</v>
      </c>
      <c r="M13" s="17">
        <v>170</v>
      </c>
      <c r="N13" s="20">
        <v>1.1499999999999999</v>
      </c>
      <c r="O13" s="3">
        <v>12</v>
      </c>
      <c r="P13" s="4">
        <v>10080</v>
      </c>
      <c r="Q13" s="3">
        <v>1200</v>
      </c>
    </row>
    <row r="14" spans="1:18" x14ac:dyDescent="0.35">
      <c r="A14" s="17" t="s">
        <v>20</v>
      </c>
      <c r="B14" s="17">
        <v>4</v>
      </c>
      <c r="C14" s="17">
        <v>47</v>
      </c>
      <c r="D14" s="17">
        <v>1</v>
      </c>
      <c r="E14" s="17">
        <v>0.65</v>
      </c>
      <c r="F14" s="17">
        <v>1040</v>
      </c>
      <c r="G14" s="17">
        <v>0.57999999999999996</v>
      </c>
      <c r="H14" s="17">
        <v>3.6</v>
      </c>
      <c r="I14" s="17">
        <v>45000</v>
      </c>
      <c r="J14" s="17">
        <v>58000</v>
      </c>
      <c r="K14" s="17">
        <v>175</v>
      </c>
      <c r="L14" s="17">
        <v>95</v>
      </c>
      <c r="M14" s="17">
        <v>250</v>
      </c>
      <c r="N14" s="20">
        <v>1.04</v>
      </c>
      <c r="O14" s="5">
        <v>8</v>
      </c>
      <c r="P14" s="4">
        <v>6720</v>
      </c>
      <c r="Q14" s="3">
        <v>2350</v>
      </c>
    </row>
    <row r="15" spans="1:18" x14ac:dyDescent="0.35">
      <c r="A15" s="17" t="s">
        <v>21</v>
      </c>
      <c r="B15" s="17">
        <v>5</v>
      </c>
      <c r="C15" s="17">
        <v>36</v>
      </c>
      <c r="D15" s="17">
        <v>1</v>
      </c>
      <c r="E15" s="17">
        <v>0.8</v>
      </c>
      <c r="F15" s="17">
        <v>1080</v>
      </c>
      <c r="G15" s="17">
        <v>0.28000000000000003</v>
      </c>
      <c r="H15" s="17">
        <v>3</v>
      </c>
      <c r="I15" s="17">
        <v>90000</v>
      </c>
      <c r="J15" s="17">
        <v>28000</v>
      </c>
      <c r="K15" s="17">
        <v>250</v>
      </c>
      <c r="L15" s="17">
        <v>195</v>
      </c>
      <c r="M15" s="17">
        <v>185</v>
      </c>
      <c r="N15" s="18">
        <v>1.08</v>
      </c>
      <c r="O15" s="19">
        <v>9</v>
      </c>
      <c r="P15" s="18">
        <v>7560</v>
      </c>
      <c r="Q15" s="18">
        <v>3240</v>
      </c>
    </row>
    <row r="16" spans="1:18" x14ac:dyDescent="0.35">
      <c r="A16" s="17" t="s">
        <v>22</v>
      </c>
      <c r="B16" s="17">
        <v>6</v>
      </c>
      <c r="C16" s="17">
        <v>22</v>
      </c>
      <c r="D16" s="17">
        <v>1</v>
      </c>
      <c r="E16" s="17">
        <v>0.3</v>
      </c>
      <c r="F16" s="17">
        <v>990</v>
      </c>
      <c r="G16" s="17">
        <v>0.42</v>
      </c>
      <c r="H16" s="17">
        <v>3.1</v>
      </c>
      <c r="I16" s="17">
        <v>25000</v>
      </c>
      <c r="J16" s="17">
        <v>18000</v>
      </c>
      <c r="K16" s="17">
        <v>140</v>
      </c>
      <c r="L16" s="17">
        <v>145</v>
      </c>
      <c r="M16" s="17">
        <v>250</v>
      </c>
      <c r="N16" s="20">
        <v>0.99</v>
      </c>
      <c r="O16" s="21">
        <v>11</v>
      </c>
      <c r="P16" s="20">
        <v>9240</v>
      </c>
      <c r="Q16" s="20">
        <v>2420</v>
      </c>
    </row>
    <row r="17" spans="1:17" x14ac:dyDescent="0.35">
      <c r="A17" s="17" t="s">
        <v>23</v>
      </c>
      <c r="B17" s="17">
        <v>7</v>
      </c>
      <c r="C17" s="17">
        <v>43</v>
      </c>
      <c r="D17" s="17">
        <v>1</v>
      </c>
      <c r="E17" s="17">
        <v>1.3</v>
      </c>
      <c r="F17" s="17">
        <v>1070</v>
      </c>
      <c r="G17" s="17">
        <v>0.52</v>
      </c>
      <c r="H17" s="17">
        <v>3.4</v>
      </c>
      <c r="I17" s="17">
        <v>550000</v>
      </c>
      <c r="J17" s="17">
        <v>38000</v>
      </c>
      <c r="K17" s="17">
        <v>190</v>
      </c>
      <c r="L17" s="17">
        <v>5</v>
      </c>
      <c r="M17" s="17">
        <v>5</v>
      </c>
      <c r="N17" s="20">
        <v>1.07</v>
      </c>
      <c r="O17" s="21">
        <v>10</v>
      </c>
      <c r="P17" s="20">
        <v>8400</v>
      </c>
      <c r="Q17" s="20">
        <v>4300</v>
      </c>
    </row>
    <row r="18" spans="1:17" x14ac:dyDescent="0.35">
      <c r="Q18" s="6">
        <f>AVERAGE(Q11:Q17)</f>
        <v>4427.1428571428569</v>
      </c>
    </row>
  </sheetData>
  <mergeCells count="9">
    <mergeCell ref="G7:H7"/>
    <mergeCell ref="G8:H8"/>
    <mergeCell ref="G2:H2"/>
    <mergeCell ref="A1:R1"/>
    <mergeCell ref="C2:C3"/>
    <mergeCell ref="G3:H3"/>
    <mergeCell ref="G4:H4"/>
    <mergeCell ref="G5:H5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Dog</vt:lpstr>
      <vt:lpstr>Cow</vt:lpstr>
      <vt:lpstr>References</vt:lpstr>
      <vt:lpstr>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Asha Susan John</cp:lastModifiedBy>
  <dcterms:created xsi:type="dcterms:W3CDTF">2025-04-14T06:33:47Z</dcterms:created>
  <dcterms:modified xsi:type="dcterms:W3CDTF">2025-04-14T07:05:41Z</dcterms:modified>
</cp:coreProperties>
</file>